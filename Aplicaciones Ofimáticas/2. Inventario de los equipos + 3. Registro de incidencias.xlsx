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4656\Downloads\"/>
    </mc:Choice>
  </mc:AlternateContent>
  <xr:revisionPtr revIDLastSave="0" documentId="13_ncr:1_{C9B80CD6-67EF-40AB-803C-83EF19816B2B}" xr6:coauthVersionLast="47" xr6:coauthVersionMax="47" xr10:uidLastSave="{00000000-0000-0000-0000-000000000000}"/>
  <bookViews>
    <workbookView xWindow="-103" yWindow="-103" windowWidth="22149" windowHeight="11829" activeTab="1" xr2:uid="{00000000-000D-0000-FFFF-FFFF00000000}"/>
  </bookViews>
  <sheets>
    <sheet name="Inventario" sheetId="1" r:id="rId1"/>
    <sheet name="Incidenc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2" l="1"/>
  <c r="F3" i="2"/>
  <c r="F4" i="2"/>
  <c r="F5" i="2"/>
  <c r="F2" i="2"/>
</calcChain>
</file>

<file path=xl/sharedStrings.xml><?xml version="1.0" encoding="utf-8"?>
<sst xmlns="http://schemas.openxmlformats.org/spreadsheetml/2006/main" count="123" uniqueCount="70">
  <si>
    <t>Equipo</t>
  </si>
  <si>
    <t>Usuario</t>
  </si>
  <si>
    <t>Ubicación</t>
  </si>
  <si>
    <t>Sistema operativo</t>
  </si>
  <si>
    <t>Software instalado</t>
  </si>
  <si>
    <t>Recepcionista</t>
  </si>
  <si>
    <t>Recepción</t>
  </si>
  <si>
    <t>Windows 11 Pro</t>
  </si>
  <si>
    <t>Dr. López</t>
  </si>
  <si>
    <t>Consulta 1</t>
  </si>
  <si>
    <t>Dra. Ruiz</t>
  </si>
  <si>
    <t>Consulta 2</t>
  </si>
  <si>
    <t>Director</t>
  </si>
  <si>
    <t>Despacho Dirección</t>
  </si>
  <si>
    <t>Microsoft Office, Microsoft Defender</t>
  </si>
  <si>
    <t>Servidor NAS</t>
  </si>
  <si>
    <t>Técnico IT</t>
  </si>
  <si>
    <t>Sala de servidores</t>
  </si>
  <si>
    <t>Linux</t>
  </si>
  <si>
    <t>Sistema de backups, Gestión de archivos</t>
  </si>
  <si>
    <t>Todos</t>
  </si>
  <si>
    <t>Firmware propietario</t>
  </si>
  <si>
    <t>Controlador de impresión</t>
  </si>
  <si>
    <t>Impresora 1</t>
  </si>
  <si>
    <t>Impresora 2</t>
  </si>
  <si>
    <t>Dr. López y Dra. Ruiz</t>
  </si>
  <si>
    <t>Pasillo consultas</t>
  </si>
  <si>
    <t>teléfono ip 3</t>
  </si>
  <si>
    <t>teléfono ip 2</t>
  </si>
  <si>
    <t>teléfono ip 1</t>
  </si>
  <si>
    <t>teléfono ip 4</t>
  </si>
  <si>
    <t>Dr.López</t>
  </si>
  <si>
    <t>Técnico</t>
  </si>
  <si>
    <t>Microsoft Office, App Gestión de Citas</t>
  </si>
  <si>
    <t>Router</t>
  </si>
  <si>
    <t>N/A</t>
  </si>
  <si>
    <t>Switch de red</t>
  </si>
  <si>
    <t>Punto de acceso WiFi</t>
  </si>
  <si>
    <t>Pasillo principal</t>
  </si>
  <si>
    <t>Caracteristicas</t>
  </si>
  <si>
    <t>PC 1 Recepcion</t>
  </si>
  <si>
    <t>PC 2 Consultas</t>
  </si>
  <si>
    <t>PC 3 Consultas</t>
  </si>
  <si>
    <t>PC 4 Dirección</t>
  </si>
  <si>
    <t>Impresora 3</t>
  </si>
  <si>
    <t>Intel i5 12400, 16 GB RAM, 512 GB</t>
  </si>
  <si>
    <t>Intel i3, 8 GB RAM, SSD 256 GB</t>
  </si>
  <si>
    <t>Impresora de red</t>
  </si>
  <si>
    <t>Teléfono VoIP</t>
  </si>
  <si>
    <t>24× Gigabit Ethernet</t>
  </si>
  <si>
    <t>WiFi 6, 2.4 GHz / 5 GHz</t>
  </si>
  <si>
    <t>4× LAN + 1× WAN</t>
  </si>
  <si>
    <t>4 × 2 TB HDD en RAID 5</t>
  </si>
  <si>
    <t>Problema</t>
  </si>
  <si>
    <t>Solución</t>
  </si>
  <si>
    <t>Estado</t>
  </si>
  <si>
    <t>Reinstalación del controlador de impresión</t>
  </si>
  <si>
    <t>Reinicio del sistema y reinstalación de la aplicación</t>
  </si>
  <si>
    <t>Sin conexión a Internet</t>
  </si>
  <si>
    <t>Reinicio del router y actualización de firmware</t>
  </si>
  <si>
    <t>Bloqueo al iniciar sesión</t>
  </si>
  <si>
    <t>Restablecimiento de contraseña y limpieza de archivos temporales</t>
  </si>
  <si>
    <t>Cobertura débil en sala de espera</t>
  </si>
  <si>
    <t>Reubicación del punto de acceso y ajuste de antenas</t>
  </si>
  <si>
    <t>Cristian Conde</t>
  </si>
  <si>
    <t>No imprime correctamente</t>
  </si>
  <si>
    <t>App de citas no funciona correctamente</t>
  </si>
  <si>
    <t>Fecha inicio</t>
  </si>
  <si>
    <t>Fecha fin</t>
  </si>
  <si>
    <t>Javier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</si>
</sst>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Aptos"/>
      <family val="2"/>
    </font>
    <font>
      <i/>
      <sz val="11"/>
      <color theme="1"/>
      <name val="Calibri"/>
      <family val="2"/>
      <scheme val="minor"/>
    </font>
    <font>
      <i/>
      <sz val="11"/>
      <color rgb="FF000000"/>
      <name val="Aptos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2" borderId="0" xfId="0" applyFill="1"/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4" fontId="0" fillId="0" borderId="7" xfId="0" applyNumberFormat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4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0" fontId="0" fillId="3" borderId="2" xfId="0" applyFill="1" applyBorder="1" applyAlignment="1" applyProtection="1">
      <alignment horizontal="center"/>
    </xf>
    <xf numFmtId="0" fontId="0" fillId="3" borderId="3" xfId="0" applyFill="1" applyBorder="1" applyAlignment="1" applyProtection="1">
      <alignment horizontal="center"/>
    </xf>
    <xf numFmtId="14" fontId="0" fillId="0" borderId="3" xfId="0" applyNumberFormat="1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</xf>
    <xf numFmtId="0" fontId="0" fillId="0" borderId="0" xfId="0" applyProtection="1"/>
    <xf numFmtId="0" fontId="0" fillId="0" borderId="1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/>
    </xf>
    <xf numFmtId="0" fontId="2" fillId="0" borderId="6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/>
    </xf>
    <xf numFmtId="0" fontId="3" fillId="0" borderId="9" xfId="0" applyFont="1" applyBorder="1" applyAlignment="1" applyProtection="1">
      <alignment horizontal="center" vertical="center"/>
    </xf>
  </cellXfs>
  <cellStyles count="1">
    <cellStyle name="Normal" xfId="0" builtinId="0"/>
  </cellStyles>
  <dxfs count="27">
    <dxf>
      <protection locked="1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i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>
          <bgColor rgb="FFFF2F2F"/>
        </patternFill>
      </fill>
    </dxf>
    <dxf>
      <fill>
        <patternFill>
          <bgColor rgb="FF00D25F"/>
        </patternFill>
      </fill>
    </dxf>
    <dxf>
      <fill>
        <patternFill>
          <bgColor theme="9" tint="-0.24994659260841701"/>
        </patternFill>
      </fill>
    </dxf>
    <dxf>
      <fill>
        <patternFill>
          <bgColor rgb="FF00CC5C"/>
        </patternFill>
      </fill>
    </dxf>
  </dxfs>
  <tableStyles count="0" defaultTableStyle="TableStyleMedium9" defaultPivotStyle="PivotStyleLight16"/>
  <colors>
    <mruColors>
      <color rgb="FFFF2F2F"/>
      <color rgb="FF00D25F"/>
      <color rgb="FF00C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Equipos" displayName="InventarioEquipos" ref="A1:F16" headerRowDxfId="2" dataDxfId="0" totalsRowDxfId="1" headerRowBorderDxfId="9" tableBorderDxfId="10">
  <autoFilter ref="A1:F16" xr:uid="{00000000-0009-0000-0100-000001000000}"/>
  <tableColumns count="6">
    <tableColumn id="1" xr3:uid="{00000000-0010-0000-0000-000001000000}" name="Equipo" dataDxfId="8"/>
    <tableColumn id="2" xr3:uid="{00000000-0010-0000-0000-000002000000}" name="Usuario" dataDxfId="7"/>
    <tableColumn id="3" xr3:uid="{00000000-0010-0000-0000-000003000000}" name="Ubicación" dataDxfId="6"/>
    <tableColumn id="4" xr3:uid="{00000000-0010-0000-0000-000004000000}" name="Sistema operativo" dataDxfId="5"/>
    <tableColumn id="5" xr3:uid="{00000000-0010-0000-0000-000005000000}" name="Software instalado" dataDxfId="4"/>
    <tableColumn id="6" xr3:uid="{00000000-0010-0000-0000-000006000000}" name="Caracteristicas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BF4E4C-E333-4924-B31A-518BCDA5BC80}" name="Tabla2" displayName="Tabla2" ref="A1:G6" totalsRowShown="0" headerRowDxfId="11" dataDxfId="22" headerRowBorderDxfId="20" tableBorderDxfId="21" totalsRowBorderDxfId="19">
  <autoFilter ref="A1:G6" xr:uid="{A9BF4E4C-E333-4924-B31A-518BCDA5BC80}"/>
  <tableColumns count="7">
    <tableColumn id="1" xr3:uid="{6FE75D00-1CCD-45BC-B04D-D2EA05C56B4B}" name="Fecha inicio" dataDxfId="18"/>
    <tableColumn id="2" xr3:uid="{AD490AEC-8BFD-4DB8-AE33-523EE56BFD1E}" name="Equipo" dataDxfId="17"/>
    <tableColumn id="3" xr3:uid="{61BFB29C-8590-48EC-B0F3-097CF4555F5D}" name="Problema" dataDxfId="16"/>
    <tableColumn id="4" xr3:uid="{68DCF0E1-AF4B-4B01-9111-048004B8AAC3}" name="Solución" dataDxfId="15"/>
    <tableColumn id="5" xr3:uid="{3E3F5903-2AFD-4A78-8C85-1333D1580276}" name="Técnico" dataDxfId="14"/>
    <tableColumn id="6" xr3:uid="{9F038DBA-9C0B-454A-B394-A507D5A8096E}" name="Estado" dataDxfId="12">
      <calculatedColumnFormula>IF(G2="","En proceso","Resuelta")</calculatedColumnFormula>
    </tableColumn>
    <tableColumn id="7" xr3:uid="{46D4E9B5-B73C-4E07-A5EA-BC46322EC9F2}" name="Fecha fin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B17" sqref="B17"/>
    </sheetView>
  </sheetViews>
  <sheetFormatPr baseColWidth="10" defaultColWidth="9.23046875" defaultRowHeight="14.6" x14ac:dyDescent="0.4"/>
  <cols>
    <col min="1" max="4" width="20" style="13" customWidth="1"/>
    <col min="5" max="5" width="37.3046875" style="13" customWidth="1"/>
    <col min="6" max="6" width="30" style="13" customWidth="1"/>
  </cols>
  <sheetData>
    <row r="1" spans="1:7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39</v>
      </c>
      <c r="G1" s="3"/>
    </row>
    <row r="2" spans="1:7" x14ac:dyDescent="0.4">
      <c r="A2" s="27" t="s">
        <v>40</v>
      </c>
      <c r="B2" s="22" t="s">
        <v>5</v>
      </c>
      <c r="C2" s="22" t="s">
        <v>6</v>
      </c>
      <c r="D2" s="22" t="s">
        <v>7</v>
      </c>
      <c r="E2" s="22" t="s">
        <v>33</v>
      </c>
      <c r="F2" s="28" t="s">
        <v>46</v>
      </c>
      <c r="G2" s="2"/>
    </row>
    <row r="3" spans="1:7" x14ac:dyDescent="0.4">
      <c r="A3" s="27" t="s">
        <v>41</v>
      </c>
      <c r="B3" s="22" t="s">
        <v>8</v>
      </c>
      <c r="C3" s="22" t="s">
        <v>9</v>
      </c>
      <c r="D3" s="22" t="s">
        <v>7</v>
      </c>
      <c r="E3" s="22" t="s">
        <v>33</v>
      </c>
      <c r="F3" s="29" t="s">
        <v>46</v>
      </c>
      <c r="G3" s="2"/>
    </row>
    <row r="4" spans="1:7" x14ac:dyDescent="0.4">
      <c r="A4" s="27" t="s">
        <v>42</v>
      </c>
      <c r="B4" s="22" t="s">
        <v>10</v>
      </c>
      <c r="C4" s="22" t="s">
        <v>11</v>
      </c>
      <c r="D4" s="22" t="s">
        <v>7</v>
      </c>
      <c r="E4" s="22" t="s">
        <v>33</v>
      </c>
      <c r="F4" s="28" t="s">
        <v>46</v>
      </c>
      <c r="G4" s="2"/>
    </row>
    <row r="5" spans="1:7" x14ac:dyDescent="0.4">
      <c r="A5" s="27" t="s">
        <v>43</v>
      </c>
      <c r="B5" s="22" t="s">
        <v>12</v>
      </c>
      <c r="C5" s="22" t="s">
        <v>13</v>
      </c>
      <c r="D5" s="22" t="s">
        <v>7</v>
      </c>
      <c r="E5" s="22" t="s">
        <v>14</v>
      </c>
      <c r="F5" s="30" t="s">
        <v>45</v>
      </c>
      <c r="G5" s="2"/>
    </row>
    <row r="6" spans="1:7" x14ac:dyDescent="0.4">
      <c r="A6" s="27" t="s">
        <v>15</v>
      </c>
      <c r="B6" s="22" t="s">
        <v>32</v>
      </c>
      <c r="C6" s="22" t="s">
        <v>17</v>
      </c>
      <c r="D6" s="22" t="s">
        <v>18</v>
      </c>
      <c r="E6" s="22" t="s">
        <v>19</v>
      </c>
      <c r="F6" s="30" t="s">
        <v>52</v>
      </c>
      <c r="G6" s="2"/>
    </row>
    <row r="7" spans="1:7" x14ac:dyDescent="0.4">
      <c r="A7" s="27" t="s">
        <v>23</v>
      </c>
      <c r="B7" s="22" t="s">
        <v>5</v>
      </c>
      <c r="C7" s="22" t="s">
        <v>6</v>
      </c>
      <c r="D7" s="22" t="s">
        <v>21</v>
      </c>
      <c r="E7" s="22" t="s">
        <v>22</v>
      </c>
      <c r="F7" s="29" t="s">
        <v>47</v>
      </c>
      <c r="G7" s="2"/>
    </row>
    <row r="8" spans="1:7" x14ac:dyDescent="0.4">
      <c r="A8" s="27" t="s">
        <v>24</v>
      </c>
      <c r="B8" s="22" t="s">
        <v>12</v>
      </c>
      <c r="C8" s="22" t="s">
        <v>13</v>
      </c>
      <c r="D8" s="22" t="s">
        <v>21</v>
      </c>
      <c r="E8" s="22" t="s">
        <v>22</v>
      </c>
      <c r="F8" s="29" t="s">
        <v>47</v>
      </c>
      <c r="G8" s="2"/>
    </row>
    <row r="9" spans="1:7" x14ac:dyDescent="0.4">
      <c r="A9" s="27" t="s">
        <v>44</v>
      </c>
      <c r="B9" s="22" t="s">
        <v>25</v>
      </c>
      <c r="C9" s="22" t="s">
        <v>26</v>
      </c>
      <c r="D9" s="22" t="s">
        <v>21</v>
      </c>
      <c r="E9" s="22" t="s">
        <v>22</v>
      </c>
      <c r="F9" s="29" t="s">
        <v>47</v>
      </c>
      <c r="G9" s="2"/>
    </row>
    <row r="10" spans="1:7" x14ac:dyDescent="0.4">
      <c r="A10" s="27" t="s">
        <v>29</v>
      </c>
      <c r="B10" s="22" t="s">
        <v>5</v>
      </c>
      <c r="C10" s="22" t="s">
        <v>6</v>
      </c>
      <c r="D10" s="22" t="s">
        <v>21</v>
      </c>
      <c r="E10" s="22" t="s">
        <v>35</v>
      </c>
      <c r="F10" s="30" t="s">
        <v>48</v>
      </c>
      <c r="G10" s="2"/>
    </row>
    <row r="11" spans="1:7" x14ac:dyDescent="0.4">
      <c r="A11" s="27" t="s">
        <v>28</v>
      </c>
      <c r="B11" s="22" t="s">
        <v>12</v>
      </c>
      <c r="C11" s="22" t="s">
        <v>13</v>
      </c>
      <c r="D11" s="22" t="s">
        <v>21</v>
      </c>
      <c r="E11" s="22" t="s">
        <v>35</v>
      </c>
      <c r="F11" s="29" t="s">
        <v>48</v>
      </c>
      <c r="G11" s="2"/>
    </row>
    <row r="12" spans="1:7" x14ac:dyDescent="0.4">
      <c r="A12" s="27" t="s">
        <v>27</v>
      </c>
      <c r="B12" s="22" t="s">
        <v>31</v>
      </c>
      <c r="C12" s="22" t="s">
        <v>9</v>
      </c>
      <c r="D12" s="22" t="s">
        <v>21</v>
      </c>
      <c r="E12" s="22" t="s">
        <v>35</v>
      </c>
      <c r="F12" s="29" t="s">
        <v>48</v>
      </c>
      <c r="G12" s="2"/>
    </row>
    <row r="13" spans="1:7" x14ac:dyDescent="0.4">
      <c r="A13" s="27" t="s">
        <v>30</v>
      </c>
      <c r="B13" s="22" t="s">
        <v>10</v>
      </c>
      <c r="C13" s="22" t="s">
        <v>11</v>
      </c>
      <c r="D13" s="22" t="s">
        <v>21</v>
      </c>
      <c r="E13" s="22" t="s">
        <v>35</v>
      </c>
      <c r="F13" s="29" t="s">
        <v>48</v>
      </c>
      <c r="G13" s="2"/>
    </row>
    <row r="14" spans="1:7" x14ac:dyDescent="0.4">
      <c r="A14" s="27" t="s">
        <v>34</v>
      </c>
      <c r="B14" s="22" t="s">
        <v>16</v>
      </c>
      <c r="C14" s="22" t="s">
        <v>17</v>
      </c>
      <c r="D14" s="22" t="s">
        <v>21</v>
      </c>
      <c r="E14" s="22" t="s">
        <v>35</v>
      </c>
      <c r="F14" s="30" t="s">
        <v>51</v>
      </c>
      <c r="G14" s="2"/>
    </row>
    <row r="15" spans="1:7" x14ac:dyDescent="0.4">
      <c r="A15" s="27" t="s">
        <v>36</v>
      </c>
      <c r="B15" s="22" t="s">
        <v>16</v>
      </c>
      <c r="C15" s="22" t="s">
        <v>17</v>
      </c>
      <c r="D15" s="22" t="s">
        <v>21</v>
      </c>
      <c r="E15" s="22" t="s">
        <v>35</v>
      </c>
      <c r="F15" s="30" t="s">
        <v>49</v>
      </c>
      <c r="G15" s="2"/>
    </row>
    <row r="16" spans="1:7" x14ac:dyDescent="0.4">
      <c r="A16" s="31" t="s">
        <v>37</v>
      </c>
      <c r="B16" s="23" t="s">
        <v>20</v>
      </c>
      <c r="C16" s="23" t="s">
        <v>38</v>
      </c>
      <c r="D16" s="23" t="s">
        <v>21</v>
      </c>
      <c r="E16" s="23" t="s">
        <v>35</v>
      </c>
      <c r="F16" s="32" t="s">
        <v>50</v>
      </c>
      <c r="G16" s="2"/>
    </row>
    <row r="17" spans="1:7" x14ac:dyDescent="0.4">
      <c r="A17" s="24"/>
      <c r="B17" s="24"/>
      <c r="C17" s="24"/>
      <c r="D17" s="24"/>
      <c r="E17" s="24"/>
      <c r="F17" s="25"/>
      <c r="G17" s="2"/>
    </row>
    <row r="18" spans="1:7" x14ac:dyDescent="0.4">
      <c r="E18" s="24"/>
      <c r="F18" s="24"/>
      <c r="G18" s="1"/>
    </row>
    <row r="22" spans="1:7" x14ac:dyDescent="0.4">
      <c r="F22" s="26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2473-6253-461A-94DA-452AC155E6EB}">
  <dimension ref="A1:H7"/>
  <sheetViews>
    <sheetView tabSelected="1" workbookViewId="0">
      <selection activeCell="C1" sqref="C1"/>
    </sheetView>
  </sheetViews>
  <sheetFormatPr baseColWidth="10" defaultRowHeight="14.6" x14ac:dyDescent="0.4"/>
  <cols>
    <col min="1" max="1" width="13.3046875" style="13" customWidth="1"/>
    <col min="2" max="2" width="18.53515625" style="13" customWidth="1"/>
    <col min="3" max="3" width="34.23046875" style="13" customWidth="1"/>
    <col min="4" max="4" width="56.07421875" style="13" customWidth="1"/>
    <col min="5" max="5" width="15.921875" style="13" customWidth="1"/>
    <col min="6" max="6" width="17.07421875" style="13" customWidth="1"/>
    <col min="7" max="7" width="19.765625" style="13" customWidth="1"/>
    <col min="9" max="9" width="12.3046875" customWidth="1"/>
  </cols>
  <sheetData>
    <row r="1" spans="1:8" x14ac:dyDescent="0.4">
      <c r="A1" s="14" t="s">
        <v>67</v>
      </c>
      <c r="B1" s="15" t="s">
        <v>0</v>
      </c>
      <c r="C1" s="15" t="s">
        <v>53</v>
      </c>
      <c r="D1" s="15" t="s">
        <v>54</v>
      </c>
      <c r="E1" s="15" t="s">
        <v>32</v>
      </c>
      <c r="F1" s="20" t="s">
        <v>55</v>
      </c>
      <c r="G1" s="15" t="s">
        <v>68</v>
      </c>
      <c r="H1" s="21"/>
    </row>
    <row r="2" spans="1:8" x14ac:dyDescent="0.4">
      <c r="A2" s="7">
        <v>46101</v>
      </c>
      <c r="B2" s="8" t="s">
        <v>23</v>
      </c>
      <c r="C2" s="8" t="s">
        <v>65</v>
      </c>
      <c r="D2" s="8" t="s">
        <v>56</v>
      </c>
      <c r="E2" s="8" t="s">
        <v>64</v>
      </c>
      <c r="F2" s="18" t="str">
        <f>IF(G2="","En proceso","Resuelta")</f>
        <v>Resuelta</v>
      </c>
      <c r="G2" s="16">
        <v>46101</v>
      </c>
    </row>
    <row r="3" spans="1:8" x14ac:dyDescent="0.4">
      <c r="A3" s="7">
        <v>46105</v>
      </c>
      <c r="B3" s="8" t="s">
        <v>41</v>
      </c>
      <c r="C3" s="8" t="s">
        <v>66</v>
      </c>
      <c r="D3" s="8" t="s">
        <v>57</v>
      </c>
      <c r="E3" s="8" t="s">
        <v>64</v>
      </c>
      <c r="F3" s="18" t="str">
        <f>IF(G3="","En proceso","Resuelta")</f>
        <v>Resuelta</v>
      </c>
      <c r="G3" s="17">
        <v>46106</v>
      </c>
    </row>
    <row r="4" spans="1:8" x14ac:dyDescent="0.4">
      <c r="A4" s="7">
        <v>46109</v>
      </c>
      <c r="B4" s="8" t="s">
        <v>34</v>
      </c>
      <c r="C4" s="8" t="s">
        <v>58</v>
      </c>
      <c r="D4" s="8" t="s">
        <v>59</v>
      </c>
      <c r="E4" s="8" t="s">
        <v>69</v>
      </c>
      <c r="F4" s="18" t="str">
        <f>IF(G4="","En proceso","Resuelta")</f>
        <v>Resuelta</v>
      </c>
      <c r="G4" s="17">
        <v>46109</v>
      </c>
    </row>
    <row r="5" spans="1:8" x14ac:dyDescent="0.4">
      <c r="A5" s="7">
        <v>46104</v>
      </c>
      <c r="B5" s="8" t="s">
        <v>43</v>
      </c>
      <c r="C5" s="8" t="s">
        <v>60</v>
      </c>
      <c r="D5" s="8" t="s">
        <v>61</v>
      </c>
      <c r="E5" s="8" t="s">
        <v>64</v>
      </c>
      <c r="F5" s="18" t="str">
        <f>IF(G5="","En proceso","Resuelta")</f>
        <v>Resuelta</v>
      </c>
      <c r="G5" s="17">
        <v>46111</v>
      </c>
    </row>
    <row r="6" spans="1:8" x14ac:dyDescent="0.4">
      <c r="A6" s="9">
        <v>46106</v>
      </c>
      <c r="B6" s="10" t="s">
        <v>37</v>
      </c>
      <c r="C6" s="10" t="s">
        <v>62</v>
      </c>
      <c r="D6" s="10" t="s">
        <v>63</v>
      </c>
      <c r="E6" s="10" t="s">
        <v>64</v>
      </c>
      <c r="F6" s="19" t="str">
        <f>IF(G6="","En proceso","Resuelta")</f>
        <v>En proceso</v>
      </c>
      <c r="G6" s="17"/>
    </row>
    <row r="7" spans="1:8" x14ac:dyDescent="0.4">
      <c r="A7" s="11"/>
      <c r="B7" s="12"/>
      <c r="C7" s="12"/>
      <c r="D7" s="12"/>
      <c r="E7" s="12"/>
      <c r="F7" s="12"/>
    </row>
  </sheetData>
  <conditionalFormatting sqref="F1:F5">
    <cfRule type="containsText" dxfId="26" priority="6" operator="containsText" text="Resuelta">
      <formula>NOT(ISERROR(SEARCH("Resuelta",F1)))</formula>
    </cfRule>
    <cfRule type="containsText" dxfId="25" priority="5" operator="containsText" text="En proceso">
      <formula>NOT(ISERROR(SEARCH("En proceso",F1)))</formula>
    </cfRule>
    <cfRule type="containsText" priority="4" operator="containsText" text="No resuelto">
      <formula>NOT(ISERROR(SEARCH("No resuelto",F1)))</formula>
    </cfRule>
  </conditionalFormatting>
  <conditionalFormatting sqref="F2:F6">
    <cfRule type="containsText" priority="3" operator="containsText" text="En proceso">
      <formula>NOT(ISERROR(SEARCH("En proceso",F2)))</formula>
    </cfRule>
  </conditionalFormatting>
  <conditionalFormatting sqref="F1:F1048576">
    <cfRule type="containsText" dxfId="24" priority="2" operator="containsText" text="Resuelta">
      <formula>NOT(ISERROR(SEARCH("Resuelta",F1)))</formula>
    </cfRule>
    <cfRule type="containsText" dxfId="23" priority="1" operator="containsText" text="En Proceso">
      <formula>NOT(ISERROR(SEARCH("En Proceso",F1)))</formula>
    </cfRule>
  </conditionalFormatting>
  <dataValidations count="3">
    <dataValidation type="date" allowBlank="1" showInputMessage="1" showErrorMessage="1" sqref="A1:A1048576 G1:G1048576" xr:uid="{F75C80E9-5B65-4232-B5C8-245E5BD5EEDF}">
      <formula1>36526</formula1>
      <formula2>109575</formula2>
    </dataValidation>
    <dataValidation type="list" showInputMessage="1" showErrorMessage="1" errorTitle="Valores incorrectos" error="Utiliza valores de la lista" sqref="E1:E1048576" xr:uid="{A879C534-138D-43E0-859C-3142D5C30CB8}">
      <formula1>"Cristian Conde, Javier Fernandez"</formula1>
    </dataValidation>
    <dataValidation type="list" allowBlank="1" showInputMessage="1" showErrorMessage="1" errorTitle="Valor incorrecto" error="Utilizar valores de la lista " sqref="B1:B1048576" xr:uid="{EB8B3E5F-925A-460D-8914-C3A92DD0A943}">
      <formula1>"PC 1 Recepcion,PC 2 Consultas,PC 3 Consultas,PC 4 Dirección,Servidor NAS,Impresora 1,Impresora 2,Impresora 3,Teléfono IP 1,Teléfono IP 2,Teléfono IP 3,Teléfono IP 4,Router,Switch de red,Punto de acceso WiFi"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conde</cp:lastModifiedBy>
  <dcterms:created xsi:type="dcterms:W3CDTF">2026-03-26T15:41:59Z</dcterms:created>
  <dcterms:modified xsi:type="dcterms:W3CDTF">2026-03-26T18:28:15Z</dcterms:modified>
</cp:coreProperties>
</file>